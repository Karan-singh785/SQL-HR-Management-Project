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83bd240c917062/Desktop/Data_Analyst_study Guide/"/>
    </mc:Choice>
  </mc:AlternateContent>
  <xr:revisionPtr revIDLastSave="14" documentId="8_{D108C85F-8407-43F4-96F4-05498F825200}" xr6:coauthVersionLast="47" xr6:coauthVersionMax="47" xr10:uidLastSave="{92F9FF3D-E58E-423B-A576-048C16D74B98}"/>
  <bookViews>
    <workbookView xWindow="-120" yWindow="-120" windowWidth="20730" windowHeight="11040" activeTab="4" xr2:uid="{A8AEC9E0-DEC3-4D4C-A40C-A3250405B653}"/>
  </bookViews>
  <sheets>
    <sheet name="employees" sheetId="8" r:id="rId1"/>
    <sheet name="attendance (2)" sheetId="6" r:id="rId2"/>
    <sheet name="performance_reviews" sheetId="7" r:id="rId3"/>
    <sheet name="department" sheetId="3" r:id="rId4"/>
    <sheet name="jobs" sheetId="4" r:id="rId5"/>
  </sheets>
  <definedNames>
    <definedName name="ExternalData_1" localSheetId="1" hidden="1">'attendance (2)'!$A$1:$D$7</definedName>
    <definedName name="ExternalData_1" localSheetId="3" hidden="1">department!$A$1:$C$6</definedName>
    <definedName name="ExternalData_1" localSheetId="0" hidden="1">employees!$A$1:$J$6</definedName>
    <definedName name="ExternalData_1" localSheetId="4" hidden="1">jobs!$A$1:$E$6</definedName>
    <definedName name="ExternalData_1" localSheetId="2" hidden="1">performance_reviews!$A$1:$E$6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L2" i="8"/>
  <c r="L3" i="8"/>
  <c r="L4" i="8"/>
  <c r="L5" i="8"/>
  <c r="L6" i="8"/>
  <c r="E2" i="6"/>
  <c r="E3" i="6"/>
  <c r="E4" i="6"/>
  <c r="E5" i="6"/>
  <c r="E6" i="6"/>
  <c r="E7" i="6"/>
  <c r="K6" i="8"/>
  <c r="K5" i="8"/>
  <c r="K4" i="8"/>
  <c r="K3" i="8"/>
  <c r="K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B5CFA-EA6D-43BA-9AB3-E89548005C1C}" keepAlive="1" name="Query - attendance" description="Connection to the 'attendance' query in the workbook." type="5" refreshedVersion="0" background="1">
    <dbPr connection="Provider=Microsoft.Mashup.OleDb.1;Data Source=$Workbook$;Location=attendance;Extended Properties=&quot;&quot;" command="SELECT * FROM [attendance]"/>
  </connection>
  <connection id="2" xr16:uid="{4A987B52-1418-4A83-9C0E-7464987BE7A4}" keepAlive="1" name="Query - attendance (2)" description="Connection to the 'attendance (2)' query in the workbook." type="5" refreshedVersion="8" background="1" saveData="1">
    <dbPr connection="Provider=Microsoft.Mashup.OleDb.1;Data Source=$Workbook$;Location=&quot;attendance (2)&quot;;Extended Properties=&quot;&quot;" command="SELECT * FROM [attendance (2)]"/>
  </connection>
  <connection id="3" xr16:uid="{70413328-1507-4502-A30D-A2D317FDFBF6}" keepAlive="1" name="Query - department" description="Connection to the 'department' query in the workbook." type="5" refreshedVersion="8" background="1" saveData="1">
    <dbPr connection="Provider=Microsoft.Mashup.OleDb.1;Data Source=$Workbook$;Location=department;Extended Properties=&quot;&quot;" command="SELECT * FROM [department]"/>
  </connection>
  <connection id="4" xr16:uid="{1E883DBF-1C4C-4C86-9743-821D10D8FEEB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5" xr16:uid="{7A4C31AE-24AE-449F-BA22-0250B44055B7}" keepAlive="1" name="Query - jobs" description="Connection to the 'jobs' query in the workbook." type="5" refreshedVersion="8" background="1" saveData="1">
    <dbPr connection="Provider=Microsoft.Mashup.OleDb.1;Data Source=$Workbook$;Location=jobs;Extended Properties=&quot;&quot;" command="SELECT * FROM [jobs]"/>
  </connection>
  <connection id="6" xr16:uid="{BF1E629C-449A-4164-8193-7F84C174AB79}" keepAlive="1" name="Query - performance_reviews" description="Connection to the 'performance_reviews' query in the workbook." type="5" refreshedVersion="8" background="1" saveData="1">
    <dbPr connection="Provider=Microsoft.Mashup.OleDb.1;Data Source=$Workbook$;Location=performance_reviews;Extended Properties=&quot;&quot;" command="SELECT * FROM [performance_reviews]"/>
  </connection>
</connections>
</file>

<file path=xl/sharedStrings.xml><?xml version="1.0" encoding="utf-8"?>
<sst xmlns="http://schemas.openxmlformats.org/spreadsheetml/2006/main" count="99" uniqueCount="71">
  <si>
    <t>job_id</t>
  </si>
  <si>
    <t>job_title</t>
  </si>
  <si>
    <t>job_type</t>
  </si>
  <si>
    <t>min_salary</t>
  </si>
  <si>
    <t>max_salary</t>
  </si>
  <si>
    <t>HR manager</t>
  </si>
  <si>
    <t>Full time</t>
  </si>
  <si>
    <t>Software Developer</t>
  </si>
  <si>
    <t>Accountant</t>
  </si>
  <si>
    <t>Sales Executive</t>
  </si>
  <si>
    <t>part time</t>
  </si>
  <si>
    <t>Marketing Specialist</t>
  </si>
  <si>
    <t>department_id</t>
  </si>
  <si>
    <t>department_name</t>
  </si>
  <si>
    <t>location</t>
  </si>
  <si>
    <t>HR</t>
  </si>
  <si>
    <t>Delhi</t>
  </si>
  <si>
    <t>IT</t>
  </si>
  <si>
    <t>Bangalore</t>
  </si>
  <si>
    <t>Finance</t>
  </si>
  <si>
    <t>Pune</t>
  </si>
  <si>
    <t>sales</t>
  </si>
  <si>
    <t>Mumbai</t>
  </si>
  <si>
    <t>Marketing</t>
  </si>
  <si>
    <t>Gurgaon</t>
  </si>
  <si>
    <t>attendance_id</t>
  </si>
  <si>
    <t>employee_id</t>
  </si>
  <si>
    <t>attendance_date</t>
  </si>
  <si>
    <t>status</t>
  </si>
  <si>
    <t>1</t>
  </si>
  <si>
    <t>Present</t>
  </si>
  <si>
    <t>Absent</t>
  </si>
  <si>
    <t>review_id</t>
  </si>
  <si>
    <t>review_date</t>
  </si>
  <si>
    <t>rating</t>
  </si>
  <si>
    <t>comments</t>
  </si>
  <si>
    <t>Excellent performance</t>
  </si>
  <si>
    <t>Very good</t>
  </si>
  <si>
    <t>Average</t>
  </si>
  <si>
    <t>Good work</t>
  </si>
  <si>
    <t>Needs improvement</t>
  </si>
  <si>
    <t>Department Name</t>
  </si>
  <si>
    <t>first_name</t>
  </si>
  <si>
    <t>last_name</t>
  </si>
  <si>
    <t>gender</t>
  </si>
  <si>
    <t>date_of_birth</t>
  </si>
  <si>
    <t>hire_date</t>
  </si>
  <si>
    <t>salary</t>
  </si>
  <si>
    <t>manager_id</t>
  </si>
  <si>
    <t>Rahul</t>
  </si>
  <si>
    <t>Sharma</t>
  </si>
  <si>
    <t>Male</t>
  </si>
  <si>
    <t>NULL</t>
  </si>
  <si>
    <t>Priya</t>
  </si>
  <si>
    <t>Verma</t>
  </si>
  <si>
    <t>Female</t>
  </si>
  <si>
    <t>Amit</t>
  </si>
  <si>
    <t>Singh</t>
  </si>
  <si>
    <t>Neha</t>
  </si>
  <si>
    <t>Kapoor</t>
  </si>
  <si>
    <t>Rohan</t>
  </si>
  <si>
    <t>Gupta</t>
  </si>
  <si>
    <t>Job Title</t>
  </si>
  <si>
    <t>Employee Name</t>
  </si>
  <si>
    <t>Row Labels</t>
  </si>
  <si>
    <t>Grand Total</t>
  </si>
  <si>
    <t>Sum of employee_id</t>
  </si>
  <si>
    <t>Average of salary</t>
  </si>
  <si>
    <t>Perform Analysis</t>
  </si>
  <si>
    <t>Average Salary by Department</t>
  </si>
  <si>
    <t>Job Role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</si>
</sst>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[HR_management_Data_Analysis.xlsx]employees!PivotTable1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employees!$A$12:$A$16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employees!$B$12:$B$16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A-485D-9733-F7033B9B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3542463"/>
        <c:axId val="903543423"/>
      </c:barChart>
      <c:catAx>
        <c:axId val="9035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43423"/>
        <c:crosses val="autoZero"/>
        <c:auto val="1"/>
        <c:lblAlgn val="ctr"/>
        <c:lblOffset val="100"/>
        <c:noMultiLvlLbl val="0"/>
      </c:catAx>
      <c:valAx>
        <c:axId val="9035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54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[HR_management_Data_Analysis.xlsx]employees!PivotTable2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employees!$A$26:$A$30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employees!$B$26:$B$30</c:f>
              <c:numCache>
                <c:formatCode>General</c:formatCode>
                <c:ptCount val="4"/>
                <c:pt idx="0">
                  <c:v>50000</c:v>
                </c:pt>
                <c:pt idx="1">
                  <c:v>60000</c:v>
                </c:pt>
                <c:pt idx="2">
                  <c:v>73500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B-4584-A94B-8D3E09A96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023167"/>
        <c:axId val="902021247"/>
      </c:barChart>
      <c:catAx>
        <c:axId val="9020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21247"/>
        <c:crosses val="autoZero"/>
        <c:auto val="1"/>
        <c:lblAlgn val="ctr"/>
        <c:lblOffset val="100"/>
        <c:noMultiLvlLbl val="0"/>
      </c:catAx>
      <c:valAx>
        <c:axId val="9020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817802</xdr:colOff>
      <xdr:row>8</xdr:row>
      <xdr:rowOff>4329</xdr:rowOff>
    </xdr:from>
    <xdr:to>
      <xdr:col>6</xdr:col>
      <xdr:colOff>266074</xdr:colOff>
      <xdr:row>21</xdr:row>
      <xdr:rowOff>185853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0B30D-3D1B-A796-F471-2D02D31A1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3965</xdr:colOff>
      <xdr:row>22</xdr:row>
      <xdr:rowOff>379461</xdr:rowOff>
    </xdr:from>
    <xdr:to>
      <xdr:col>6</xdr:col>
      <xdr:colOff>281179</xdr:colOff>
      <xdr:row>35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6A353-AC3B-0CE2-AC0B-90119EC45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8.912821412036" createdVersion="8" refreshedVersion="8" minRefreshableVersion="3" recordCount="5" xr:uid="{B5D478F9-2B3D-411E-AEB0-8C7F7ABB5268}">
  <cacheSource type="worksheet">
    <worksheetSource ref="A1:K6" sheet="employees"/>
  </cacheSource>
  <cacheFields count="11">
    <cacheField name="employee_id" numFmtId="0">
      <sharedItems containsSemiMixedTypes="0" containsString="0" containsNumber="1" containsInteger="1" minValue="1" maxValue="5"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ate_of_birth" numFmtId="14">
      <sharedItems containsSemiMixedTypes="0" containsNonDate="0" containsDate="1" containsString="0" minDate="1993-11-25T00:00:00" maxDate="1997-04-13T00:00:00"/>
    </cacheField>
    <cacheField name="hire_date" numFmtId="14">
      <sharedItems containsSemiMixedTypes="0" containsNonDate="0" containsDate="1" containsString="0" minDate="2020-08-10T00:00:00" maxDate="2023-02-06T00:00:00"/>
    </cacheField>
    <cacheField name="department_id" numFmtId="0">
      <sharedItems containsSemiMixedTypes="0" containsString="0" containsNumber="1" containsInteger="1" minValue="1" maxValue="4"/>
    </cacheField>
    <cacheField name="job_id" numFmtId="0">
      <sharedItems containsSemiMixedTypes="0" containsString="0" containsNumber="1" containsInteger="1" minValue="1" maxValue="4"/>
    </cacheField>
    <cacheField name="salary" numFmtId="0">
      <sharedItems containsSemiMixedTypes="0" containsString="0" containsNumber="1" containsInteger="1" minValue="45000" maxValue="75000"/>
    </cacheField>
    <cacheField name="manager_id" numFmtId="0">
      <sharedItems/>
    </cacheField>
    <cacheField name="Department Name" numFmtId="0">
      <sharedItems count="4">
        <s v="IT"/>
        <s v="HR"/>
        <s v="Finance"/>
        <s v="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Rahul"/>
    <s v="Sharma"/>
    <s v="Male"/>
    <d v="1995-05-10T00:00:00"/>
    <d v="2022-01-15T00:00:00"/>
    <n v="2"/>
    <n v="2"/>
    <n v="75000"/>
    <s v="NULL"/>
    <x v="0"/>
  </r>
  <r>
    <n v="2"/>
    <s v="Priya"/>
    <s v="Verma"/>
    <s v="Female"/>
    <d v="1996-07-20T00:00:00"/>
    <d v="2021-03-10T00:00:00"/>
    <n v="1"/>
    <n v="1"/>
    <n v="60000"/>
    <s v="NULL"/>
    <x v="1"/>
  </r>
  <r>
    <n v="3"/>
    <s v="Amit"/>
    <s v="Singh"/>
    <s v="Male"/>
    <d v="1994-09-15T00:00:00"/>
    <d v="2023-02-05T00:00:00"/>
    <n v="2"/>
    <n v="2"/>
    <n v="72000"/>
    <s v="1"/>
    <x v="0"/>
  </r>
  <r>
    <n v="4"/>
    <s v="Neha"/>
    <s v="Kapoor"/>
    <s v="Female"/>
    <d v="1997-04-12T00:00:00"/>
    <d v="2022-06-18T00:00:00"/>
    <n v="3"/>
    <n v="3"/>
    <n v="50000"/>
    <s v="NULL"/>
    <x v="2"/>
  </r>
  <r>
    <n v="5"/>
    <s v="Rohan"/>
    <s v="Gupta"/>
    <s v="Male"/>
    <d v="1993-11-25T00:00:00"/>
    <d v="2020-08-10T00:00:00"/>
    <n v="4"/>
    <n v="4"/>
    <n v="45000"/>
    <s v="NULL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1FA7E-0FDE-45A8-B8EC-8E7382F1E7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0:J27" firstHeaderRow="1" firstDataRow="1" firstDataCol="0"/>
  <pivotFields count="11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53CF9-E17B-46F7-AEE8-74BA02973B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5:B30" firstHeaderRow="1" firstDataRow="1" firstDataCol="1"/>
  <pivotFields count="11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10A6A-9A96-4FA8-8C62-F1097960BA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6" firstHeaderRow="1" firstDataRow="1" firstDataCol="1"/>
  <pivotFields count="11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mployee_id" fld="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9058D21-3EA8-4836-9D43-F5B077D1FB7F}" autoFormatId="16" applyNumberFormats="0" applyBorderFormats="0" applyFontFormats="0" applyPatternFormats="0" applyAlignmentFormats="0" applyWidthHeightFormats="0">
  <queryTableRefresh nextId="14" unboundColumnsRight="2">
    <queryTableFields count="12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hire_date" tableColumnId="6"/>
      <queryTableField id="7" name="department_id" tableColumnId="7"/>
      <queryTableField id="8" name="job_id" tableColumnId="8"/>
      <queryTableField id="9" name="salary" tableColumnId="9"/>
      <queryTableField id="10" name="manager_id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42605A-FCAC-404F-AF1C-5FF0E98585FE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attendance_id" tableColumnId="1"/>
      <queryTableField id="2" name="employee_id" tableColumnId="2"/>
      <queryTableField id="3" name="attendance_date" tableColumnId="3"/>
      <queryTableField id="4" name="status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13C363B-C95A-474F-B0A6-7FCA7EBF6E8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review_id" tableColumnId="1"/>
      <queryTableField id="2" name="employee_id" tableColumnId="2"/>
      <queryTableField id="3" name="review_date" tableColumnId="3"/>
      <queryTableField id="4" name="rating" tableColumnId="4"/>
      <queryTableField id="5" name="comments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3E2182-3261-4067-BA76-F455B62A48FD}" autoFormatId="16" applyNumberFormats="0" applyBorderFormats="0" applyFontFormats="0" applyPatternFormats="0" applyAlignmentFormats="0" applyWidthHeightFormats="0">
  <queryTableRefresh nextId="4">
    <queryTableFields count="3">
      <queryTableField id="1" name="department_id" tableColumnId="1"/>
      <queryTableField id="2" name="department_name" tableColumnId="2"/>
      <queryTableField id="3" name="location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963DE98-2401-4B33-9C69-F2491A8488CE}" autoFormatId="16" applyNumberFormats="0" applyBorderFormats="0" applyFontFormats="0" applyPatternFormats="0" applyAlignmentFormats="0" applyWidthHeightFormats="0">
  <queryTableRefresh nextId="6">
    <queryTableFields count="5">
      <queryTableField id="1" name="job_id" tableColumnId="1"/>
      <queryTableField id="2" name="job_title" tableColumnId="2"/>
      <queryTableField id="3" name="job_type" tableColumnId="3"/>
      <queryTableField id="4" name="min_salary" tableColumnId="4"/>
      <queryTableField id="5" name="max_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9FCA10-FEE5-4D39-B75A-C9E4E75CB878}" name="employees" displayName="employees" ref="A1:L6" tableType="queryTable" totalsRowShown="0" headerRowDxfId="32" dataDxfId="31">
  <autoFilter ref="A1:L6" xr:uid="{C59FCA10-FEE5-4D39-B75A-C9E4E75CB8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0EC3034-9495-4003-8C1B-85F782504EDE}" uniqueName="1" name="employee_id" queryTableFieldId="1" dataDxfId="30"/>
    <tableColumn id="2" xr3:uid="{0EEA3D56-749C-461A-B78B-25F5ABEDB25C}" uniqueName="2" name="first_name" queryTableFieldId="2" dataDxfId="29"/>
    <tableColumn id="3" xr3:uid="{ADA4F353-06C1-4089-AF58-FAED8CDDBA52}" uniqueName="3" name="last_name" queryTableFieldId="3" dataDxfId="28"/>
    <tableColumn id="4" xr3:uid="{2414E10A-95EE-4E9E-B79F-6CE0D6B6D110}" uniqueName="4" name="gender" queryTableFieldId="4" dataDxfId="27"/>
    <tableColumn id="5" xr3:uid="{5DF669BF-0420-461A-A4C0-706B2819CB2A}" uniqueName="5" name="date_of_birth" queryTableFieldId="5" dataDxfId="26"/>
    <tableColumn id="6" xr3:uid="{CD688DF5-CBA3-44EE-A679-3288BD925F71}" uniqueName="6" name="hire_date" queryTableFieldId="6" dataDxfId="25"/>
    <tableColumn id="7" xr3:uid="{15502B2B-5367-4866-B0B1-A174713A9555}" uniqueName="7" name="department_id" queryTableFieldId="7" dataDxfId="24"/>
    <tableColumn id="8" xr3:uid="{3AEF87FE-16A4-4332-9334-AD2FBADC67DC}" uniqueName="8" name="job_id" queryTableFieldId="8" dataDxfId="23"/>
    <tableColumn id="9" xr3:uid="{1EACF0FA-8052-40EF-952B-8DEFF2A61F67}" uniqueName="9" name="salary" queryTableFieldId="9" dataDxfId="22"/>
    <tableColumn id="10" xr3:uid="{E0B9B394-BCAF-433D-8817-C74F85EE69AC}" uniqueName="10" name="manager_id" queryTableFieldId="10" dataDxfId="21"/>
    <tableColumn id="11" xr3:uid="{BF3D1F9D-50C9-438B-83B3-09845490EE54}" uniqueName="11" name="Department Name" queryTableFieldId="11" dataDxfId="20">
      <calculatedColumnFormula>_xlfn.XLOOKUP(G2,department!A:A,department!B:B)</calculatedColumnFormula>
    </tableColumn>
    <tableColumn id="12" xr3:uid="{A94DFD0D-612E-4B24-9F82-BA3976CD8AFD}" uniqueName="12" name="Job Title" queryTableFieldId="12" dataDxfId="19">
      <calculatedColumnFormula>_xlfn.XLOOKUP(H2,jobs!A:A,jobs!B:B)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6D5C6D-64CB-4339-BD26-7A7FBD7569D1}" name="attendance__2" displayName="attendance__2" ref="A1:E7" tableType="queryTable" totalsRowShown="0">
  <autoFilter ref="A1:E7" xr:uid="{1B6D5C6D-64CB-4339-BD26-7A7FBD7569D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8552FBA-D120-4785-9962-E50DAFFD4AF1}" uniqueName="1" name="attendance_id" queryTableFieldId="1"/>
    <tableColumn id="2" xr3:uid="{08225280-0DB5-43AB-BACA-B243A71DBAAE}" uniqueName="2" name="employee_id" queryTableFieldId="2"/>
    <tableColumn id="3" xr3:uid="{CE5D476B-161D-47F6-8891-83179CDFA01F}" uniqueName="3" name="attendance_date" queryTableFieldId="3" dataDxfId="18"/>
    <tableColumn id="4" xr3:uid="{011A3524-2B2E-4C7B-9D24-82471F6BA9A7}" uniqueName="4" name="status" queryTableFieldId="4" dataDxfId="17"/>
    <tableColumn id="5" xr3:uid="{A8877D93-E897-4E66-9D75-D369BE6FB5C6}" uniqueName="5" name="Employee Name" queryTableFieldId="5" dataDxfId="16">
      <calculatedColumnFormula>_xlfn.XLOOKUP(B2,employees!A:A,employees!B:B)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DE4770-54A4-4B15-9B0A-6DA239EC6C24}" name="performance_reviews" displayName="performance_reviews" ref="A1:F6" tableType="queryTable" totalsRowShown="0">
  <autoFilter ref="A1:F6" xr:uid="{E9DE4770-54A4-4B15-9B0A-6DA239EC6C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FA3614E-4144-44EB-AEA1-6D24ADE5DE5F}" uniqueName="1" name="review_id" queryTableFieldId="1"/>
    <tableColumn id="2" xr3:uid="{22286F99-5A05-41A1-BA3C-A56BBD3C4E0E}" uniqueName="2" name="employee_id" queryTableFieldId="2"/>
    <tableColumn id="3" xr3:uid="{05BDFF5D-6293-4D25-AD4F-2B244B373191}" uniqueName="3" name="review_date" queryTableFieldId="3" dataDxfId="2"/>
    <tableColumn id="4" xr3:uid="{D591D8B2-B2E0-4D93-97BB-DC6EDD483259}" uniqueName="4" name="rating" queryTableFieldId="4" dataDxfId="0"/>
    <tableColumn id="5" xr3:uid="{CE63253D-7C27-40E9-B652-6FD4C0917586}" uniqueName="5" name="comments" queryTableFieldId="5" dataDxfId="1"/>
    <tableColumn id="6" xr3:uid="{1E66C699-74CE-42E7-949F-81A0D20F56A5}" uniqueName="6" name="Employee Name" queryTableFieldId="6" dataDxfId="15">
      <calculatedColumnFormula>_xlfn.XLOOKUP(B2,employees!A:A,employees!B:B)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E15AA-AC30-48EE-BC10-867C25FB1A44}" name="department" displayName="department" ref="A1:C6" tableType="queryTable" totalsRowShown="0" headerRowDxfId="14" dataDxfId="13">
  <autoFilter ref="A1:C6" xr:uid="{2E0E15AA-AC30-48EE-BC10-867C25FB1A44}">
    <filterColumn colId="0" hiddenButton="1"/>
    <filterColumn colId="1" hiddenButton="1"/>
    <filterColumn colId="2" hiddenButton="1"/>
  </autoFilter>
  <tableColumns count="3">
    <tableColumn id="1" xr3:uid="{4475FCBD-29B6-4FD5-A579-62F49EF9B55D}" uniqueName="1" name="department_id" queryTableFieldId="1" dataDxfId="12"/>
    <tableColumn id="2" xr3:uid="{50B1B2AC-77F2-44CD-8B79-10B776552A5D}" uniqueName="2" name="department_name" queryTableFieldId="2" dataDxfId="11"/>
    <tableColumn id="3" xr3:uid="{AF9E2368-8A15-4614-A66D-BC452C76D09C}" uniqueName="3" name="location" queryTableFieldId="3" dataDxfId="10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A4683-DF45-4EA9-B0E5-D432DE833377}" name="jobs" displayName="jobs" ref="A1:E6" tableType="queryTable" totalsRowShown="0" headerRowDxfId="9" dataDxfId="8">
  <autoFilter ref="A1:E6" xr:uid="{C0CA4683-DF45-4EA9-B0E5-D432DE83337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153A8DF-71F5-4FD5-A219-F377DD8E4925}" uniqueName="1" name="job_id" queryTableFieldId="1" dataDxfId="7"/>
    <tableColumn id="2" xr3:uid="{A28F2623-7E18-4C20-99BD-3F4AAF446B2F}" uniqueName="2" name="job_title" queryTableFieldId="2" dataDxfId="6"/>
    <tableColumn id="3" xr3:uid="{B37C5551-7770-45CC-B927-CF4EE9236FCE}" uniqueName="3" name="job_type" queryTableFieldId="3" dataDxfId="5"/>
    <tableColumn id="4" xr3:uid="{F1AA3786-5F40-4427-8970-7FE221ABF605}" uniqueName="4" name="min_salary" queryTableFieldId="4" dataDxfId="4"/>
    <tableColumn id="5" xr3:uid="{5D7E7D30-3B95-4E21-95EE-A8807D00BB0A}" uniqueName="5" name="max_salary" queryTableFieldId="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A3E8-85A4-43E5-ACF2-C640930AA026}">
  <dimension ref="A1:L30"/>
  <sheetViews>
    <sheetView topLeftCell="A19" zoomScale="82" workbookViewId="0">
      <selection activeCell="L16" sqref="L16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12.42578125" bestFit="1" customWidth="1"/>
    <col min="4" max="4" width="28.28515625" bestFit="1" customWidth="1"/>
    <col min="5" max="5" width="16.42578125" bestFit="1" customWidth="1"/>
    <col min="6" max="6" width="19.5703125" bestFit="1" customWidth="1"/>
    <col min="7" max="7" width="16.7109375" bestFit="1" customWidth="1"/>
    <col min="8" max="8" width="13.28515625" bestFit="1" customWidth="1"/>
    <col min="9" max="9" width="8.42578125" bestFit="1" customWidth="1"/>
    <col min="10" max="10" width="13.7109375" bestFit="1" customWidth="1"/>
    <col min="11" max="11" width="17.7109375" bestFit="1" customWidth="1"/>
    <col min="12" max="12" width="19" bestFit="1" customWidth="1"/>
  </cols>
  <sheetData>
    <row r="1" spans="1:12" x14ac:dyDescent="0.25">
      <c r="A1" s="1" t="s">
        <v>26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12</v>
      </c>
      <c r="H1" s="1" t="s">
        <v>0</v>
      </c>
      <c r="I1" s="1" t="s">
        <v>47</v>
      </c>
      <c r="J1" s="1" t="s">
        <v>48</v>
      </c>
      <c r="K1" s="1" t="s">
        <v>41</v>
      </c>
      <c r="L1" s="1" t="s">
        <v>62</v>
      </c>
    </row>
    <row r="2" spans="1:12" x14ac:dyDescent="0.25">
      <c r="A2" s="1">
        <v>1</v>
      </c>
      <c r="B2" s="1" t="s">
        <v>49</v>
      </c>
      <c r="C2" s="1" t="s">
        <v>50</v>
      </c>
      <c r="D2" s="1" t="s">
        <v>51</v>
      </c>
      <c r="E2" s="3">
        <v>34829</v>
      </c>
      <c r="F2" s="3">
        <v>44576</v>
      </c>
      <c r="G2" s="1">
        <v>2</v>
      </c>
      <c r="H2" s="1">
        <v>2</v>
      </c>
      <c r="I2" s="1">
        <v>75000</v>
      </c>
      <c r="J2" s="1" t="s">
        <v>52</v>
      </c>
      <c r="K2" s="1" t="str">
        <f>_xlfn.XLOOKUP(G2,department!A:A,department!B:B)</f>
        <v>IT</v>
      </c>
      <c r="L2" s="1" t="str">
        <f>_xlfn.XLOOKUP(H2,jobs!A:A,jobs!B:B)</f>
        <v>Software Developer</v>
      </c>
    </row>
    <row r="3" spans="1:12" x14ac:dyDescent="0.25">
      <c r="A3" s="1">
        <v>2</v>
      </c>
      <c r="B3" s="1" t="s">
        <v>53</v>
      </c>
      <c r="C3" s="1" t="s">
        <v>54</v>
      </c>
      <c r="D3" s="1" t="s">
        <v>55</v>
      </c>
      <c r="E3" s="3">
        <v>35266</v>
      </c>
      <c r="F3" s="3">
        <v>44265</v>
      </c>
      <c r="G3" s="1">
        <v>1</v>
      </c>
      <c r="H3" s="1">
        <v>1</v>
      </c>
      <c r="I3" s="1">
        <v>60000</v>
      </c>
      <c r="J3" s="1" t="s">
        <v>52</v>
      </c>
      <c r="K3" s="1" t="str">
        <f>_xlfn.XLOOKUP(G3,department!A:A,department!B:B)</f>
        <v>HR</v>
      </c>
      <c r="L3" s="1" t="str">
        <f>_xlfn.XLOOKUP(H3,jobs!A:A,jobs!B:B)</f>
        <v>HR manager</v>
      </c>
    </row>
    <row r="4" spans="1:12" x14ac:dyDescent="0.25">
      <c r="A4" s="1">
        <v>3</v>
      </c>
      <c r="B4" s="1" t="s">
        <v>56</v>
      </c>
      <c r="C4" s="1" t="s">
        <v>57</v>
      </c>
      <c r="D4" s="1" t="s">
        <v>51</v>
      </c>
      <c r="E4" s="3">
        <v>34592</v>
      </c>
      <c r="F4" s="3">
        <v>44962</v>
      </c>
      <c r="G4" s="1">
        <v>2</v>
      </c>
      <c r="H4" s="1">
        <v>2</v>
      </c>
      <c r="I4" s="1">
        <v>72000</v>
      </c>
      <c r="J4" s="1" t="s">
        <v>29</v>
      </c>
      <c r="K4" s="1" t="str">
        <f>_xlfn.XLOOKUP(G4,department!A:A,department!B:B)</f>
        <v>IT</v>
      </c>
      <c r="L4" s="1" t="str">
        <f>_xlfn.XLOOKUP(H4,jobs!A:A,jobs!B:B)</f>
        <v>Software Developer</v>
      </c>
    </row>
    <row r="5" spans="1:12" x14ac:dyDescent="0.25">
      <c r="A5" s="1">
        <v>4</v>
      </c>
      <c r="B5" s="1" t="s">
        <v>58</v>
      </c>
      <c r="C5" s="1" t="s">
        <v>59</v>
      </c>
      <c r="D5" s="1" t="s">
        <v>55</v>
      </c>
      <c r="E5" s="3">
        <v>35532</v>
      </c>
      <c r="F5" s="3">
        <v>44730</v>
      </c>
      <c r="G5" s="1">
        <v>3</v>
      </c>
      <c r="H5" s="1">
        <v>3</v>
      </c>
      <c r="I5" s="1">
        <v>50000</v>
      </c>
      <c r="J5" s="1" t="s">
        <v>52</v>
      </c>
      <c r="K5" s="1" t="str">
        <f>_xlfn.XLOOKUP(G5,department!A:A,department!B:B)</f>
        <v>Finance</v>
      </c>
      <c r="L5" s="1" t="str">
        <f>_xlfn.XLOOKUP(H5,jobs!A:A,jobs!B:B)</f>
        <v>Accountant</v>
      </c>
    </row>
    <row r="6" spans="1:12" x14ac:dyDescent="0.25">
      <c r="A6" s="1">
        <v>5</v>
      </c>
      <c r="B6" s="1" t="s">
        <v>60</v>
      </c>
      <c r="C6" s="1" t="s">
        <v>61</v>
      </c>
      <c r="D6" s="1" t="s">
        <v>51</v>
      </c>
      <c r="E6" s="3">
        <v>34298</v>
      </c>
      <c r="F6" s="3">
        <v>44053</v>
      </c>
      <c r="G6" s="1">
        <v>4</v>
      </c>
      <c r="H6" s="1">
        <v>4</v>
      </c>
      <c r="I6" s="1">
        <v>45000</v>
      </c>
      <c r="J6" s="1" t="s">
        <v>52</v>
      </c>
      <c r="K6" s="1" t="str">
        <f>_xlfn.XLOOKUP(G6,department!A:A,department!B:B)</f>
        <v>sales</v>
      </c>
      <c r="L6" s="1" t="str">
        <f>_xlfn.XLOOKUP(H6,jobs!A:A,jobs!B:B)</f>
        <v>Sales Executive</v>
      </c>
    </row>
    <row r="9" spans="1:12" ht="30" x14ac:dyDescent="0.4">
      <c r="A9" s="15" t="s">
        <v>68</v>
      </c>
      <c r="B9" s="16"/>
      <c r="H9" s="15" t="s">
        <v>70</v>
      </c>
    </row>
    <row r="10" spans="1:12" x14ac:dyDescent="0.25">
      <c r="H10" s="4"/>
      <c r="I10" s="5"/>
      <c r="J10" s="6"/>
    </row>
    <row r="11" spans="1:12" x14ac:dyDescent="0.25">
      <c r="A11" s="13" t="s">
        <v>64</v>
      </c>
      <c r="B11" t="s">
        <v>66</v>
      </c>
      <c r="H11" s="7"/>
      <c r="I11" s="8"/>
      <c r="J11" s="9"/>
    </row>
    <row r="12" spans="1:12" x14ac:dyDescent="0.25">
      <c r="A12" s="14" t="s">
        <v>19</v>
      </c>
      <c r="B12">
        <v>4</v>
      </c>
      <c r="H12" s="7"/>
      <c r="I12" s="8"/>
      <c r="J12" s="9"/>
    </row>
    <row r="13" spans="1:12" x14ac:dyDescent="0.25">
      <c r="A13" s="14" t="s">
        <v>15</v>
      </c>
      <c r="B13">
        <v>2</v>
      </c>
      <c r="H13" s="7"/>
      <c r="I13" s="8"/>
      <c r="J13" s="9"/>
    </row>
    <row r="14" spans="1:12" x14ac:dyDescent="0.25">
      <c r="A14" s="14" t="s">
        <v>17</v>
      </c>
      <c r="B14">
        <v>4</v>
      </c>
      <c r="H14" s="7"/>
      <c r="I14" s="8"/>
      <c r="J14" s="9"/>
    </row>
    <row r="15" spans="1:12" x14ac:dyDescent="0.25">
      <c r="A15" s="14" t="s">
        <v>21</v>
      </c>
      <c r="B15">
        <v>5</v>
      </c>
      <c r="H15" s="7"/>
      <c r="I15" s="8"/>
      <c r="J15" s="9"/>
    </row>
    <row r="16" spans="1:12" x14ac:dyDescent="0.25">
      <c r="A16" s="14" t="s">
        <v>65</v>
      </c>
      <c r="B16">
        <v>15</v>
      </c>
      <c r="H16" s="7"/>
      <c r="I16" s="8"/>
      <c r="J16" s="9"/>
    </row>
    <row r="17" spans="1:10" x14ac:dyDescent="0.25">
      <c r="H17" s="7"/>
      <c r="I17" s="8"/>
      <c r="J17" s="9"/>
    </row>
    <row r="18" spans="1:10" x14ac:dyDescent="0.25">
      <c r="H18" s="7"/>
      <c r="I18" s="8"/>
      <c r="J18" s="9"/>
    </row>
    <row r="19" spans="1:10" x14ac:dyDescent="0.25">
      <c r="H19" s="7"/>
      <c r="I19" s="8"/>
      <c r="J19" s="9"/>
    </row>
    <row r="20" spans="1:10" x14ac:dyDescent="0.25">
      <c r="H20" s="7"/>
      <c r="I20" s="8"/>
      <c r="J20" s="9"/>
    </row>
    <row r="21" spans="1:10" x14ac:dyDescent="0.25">
      <c r="H21" s="7"/>
      <c r="I21" s="8"/>
      <c r="J21" s="9"/>
    </row>
    <row r="22" spans="1:10" x14ac:dyDescent="0.25">
      <c r="H22" s="7"/>
      <c r="I22" s="8"/>
      <c r="J22" s="9"/>
    </row>
    <row r="23" spans="1:10" ht="30" x14ac:dyDescent="0.4">
      <c r="A23" s="15" t="s">
        <v>69</v>
      </c>
      <c r="H23" s="7"/>
      <c r="I23" s="8"/>
      <c r="J23" s="9"/>
    </row>
    <row r="24" spans="1:10" x14ac:dyDescent="0.25">
      <c r="H24" s="7"/>
      <c r="I24" s="8"/>
      <c r="J24" s="9"/>
    </row>
    <row r="25" spans="1:10" x14ac:dyDescent="0.25">
      <c r="A25" s="13" t="s">
        <v>64</v>
      </c>
      <c r="B25" t="s">
        <v>67</v>
      </c>
      <c r="H25" s="7"/>
      <c r="I25" s="8"/>
      <c r="J25" s="9"/>
    </row>
    <row r="26" spans="1:10" x14ac:dyDescent="0.25">
      <c r="A26" s="14" t="s">
        <v>19</v>
      </c>
      <c r="B26">
        <v>50000</v>
      </c>
      <c r="H26" s="7"/>
      <c r="I26" s="8"/>
      <c r="J26" s="9"/>
    </row>
    <row r="27" spans="1:10" x14ac:dyDescent="0.25">
      <c r="A27" s="14" t="s">
        <v>15</v>
      </c>
      <c r="B27">
        <v>60000</v>
      </c>
      <c r="H27" s="10"/>
      <c r="I27" s="11"/>
      <c r="J27" s="12"/>
    </row>
    <row r="28" spans="1:10" x14ac:dyDescent="0.25">
      <c r="A28" s="14" t="s">
        <v>17</v>
      </c>
      <c r="B28">
        <v>73500</v>
      </c>
    </row>
    <row r="29" spans="1:10" x14ac:dyDescent="0.25">
      <c r="A29" s="14" t="s">
        <v>21</v>
      </c>
      <c r="B29">
        <v>45000</v>
      </c>
    </row>
    <row r="30" spans="1:10" x14ac:dyDescent="0.25">
      <c r="A30" s="14" t="s">
        <v>65</v>
      </c>
      <c r="B30">
        <v>60400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BBC8-DDFA-4091-B1C8-4561541E9431}">
  <dimension ref="A1:E7"/>
  <sheetViews>
    <sheetView workbookViewId="0">
      <selection activeCell="F2" sqref="F2"/>
    </sheetView>
  </sheetViews>
  <sheetFormatPr defaultRowHeight="15" x14ac:dyDescent="0.25"/>
  <cols>
    <col min="1" max="1" width="13.85546875" bestFit="1" customWidth="1"/>
    <col min="2" max="2" width="12.7109375" bestFit="1" customWidth="1"/>
    <col min="3" max="3" width="16.140625" bestFit="1" customWidth="1"/>
    <col min="4" max="4" width="7.85546875" bestFit="1" customWidth="1"/>
    <col min="5" max="5" width="15.710937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63</v>
      </c>
    </row>
    <row r="2" spans="1:5" x14ac:dyDescent="0.25">
      <c r="A2">
        <v>1</v>
      </c>
      <c r="B2">
        <v>1</v>
      </c>
      <c r="C2" s="2">
        <v>45292</v>
      </c>
      <c r="D2" t="s">
        <v>30</v>
      </c>
      <c r="E2" t="str">
        <f>_xlfn.XLOOKUP(B2,employees!A:A,employees!B:B)</f>
        <v>Rahul</v>
      </c>
    </row>
    <row r="3" spans="1:5" x14ac:dyDescent="0.25">
      <c r="A3">
        <v>2</v>
      </c>
      <c r="B3">
        <v>1</v>
      </c>
      <c r="C3" s="2">
        <v>45293</v>
      </c>
      <c r="D3" t="s">
        <v>30</v>
      </c>
      <c r="E3" t="str">
        <f>_xlfn.XLOOKUP(B3,employees!A:A,employees!B:B)</f>
        <v>Rahul</v>
      </c>
    </row>
    <row r="4" spans="1:5" x14ac:dyDescent="0.25">
      <c r="A4">
        <v>3</v>
      </c>
      <c r="B4">
        <v>2</v>
      </c>
      <c r="C4" s="2">
        <v>45292</v>
      </c>
      <c r="D4" t="s">
        <v>31</v>
      </c>
      <c r="E4" t="str">
        <f>_xlfn.XLOOKUP(B4,employees!A:A,employees!B:B)</f>
        <v>Priya</v>
      </c>
    </row>
    <row r="5" spans="1:5" x14ac:dyDescent="0.25">
      <c r="A5">
        <v>4</v>
      </c>
      <c r="B5">
        <v>3</v>
      </c>
      <c r="C5" s="2">
        <v>45292</v>
      </c>
      <c r="D5" t="s">
        <v>30</v>
      </c>
      <c r="E5" t="str">
        <f>_xlfn.XLOOKUP(B5,employees!A:A,employees!B:B)</f>
        <v>Amit</v>
      </c>
    </row>
    <row r="6" spans="1:5" x14ac:dyDescent="0.25">
      <c r="A6">
        <v>5</v>
      </c>
      <c r="B6">
        <v>4</v>
      </c>
      <c r="C6" s="2">
        <v>45292</v>
      </c>
      <c r="D6" t="s">
        <v>30</v>
      </c>
      <c r="E6" t="str">
        <f>_xlfn.XLOOKUP(B6,employees!A:A,employees!B:B)</f>
        <v>Neha</v>
      </c>
    </row>
    <row r="7" spans="1:5" x14ac:dyDescent="0.25">
      <c r="A7">
        <v>6</v>
      </c>
      <c r="B7">
        <v>5</v>
      </c>
      <c r="C7" s="2">
        <v>45292</v>
      </c>
      <c r="D7" t="s">
        <v>31</v>
      </c>
      <c r="E7" t="str">
        <f>_xlfn.XLOOKUP(B7,employees!A:A,employees!B:B)</f>
        <v>Rohan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2567-4A0A-410B-B4C8-79C267914F68}">
  <dimension ref="A1:F6"/>
  <sheetViews>
    <sheetView workbookViewId="0">
      <selection activeCell="D2" sqref="D2:D6"/>
    </sheetView>
  </sheetViews>
  <sheetFormatPr defaultRowHeight="15" x14ac:dyDescent="0.25"/>
  <cols>
    <col min="1" max="1" width="9.85546875" bestFit="1" customWidth="1"/>
    <col min="2" max="2" width="12.7109375" bestFit="1" customWidth="1"/>
    <col min="3" max="3" width="12.140625" bestFit="1" customWidth="1"/>
    <col min="4" max="4" width="13.140625" bestFit="1" customWidth="1"/>
    <col min="5" max="5" width="21.42578125" bestFit="1" customWidth="1"/>
    <col min="6" max="6" width="15.7109375" bestFit="1" customWidth="1"/>
  </cols>
  <sheetData>
    <row r="1" spans="1:6" x14ac:dyDescent="0.25">
      <c r="A1" t="s">
        <v>32</v>
      </c>
      <c r="B1" t="s">
        <v>26</v>
      </c>
      <c r="C1" t="s">
        <v>33</v>
      </c>
      <c r="D1" t="s">
        <v>34</v>
      </c>
      <c r="E1" t="s">
        <v>35</v>
      </c>
      <c r="F1" t="s">
        <v>63</v>
      </c>
    </row>
    <row r="2" spans="1:6" x14ac:dyDescent="0.25">
      <c r="A2">
        <v>1</v>
      </c>
      <c r="B2">
        <v>1</v>
      </c>
      <c r="C2" s="2">
        <v>45301</v>
      </c>
      <c r="D2" s="1">
        <v>5</v>
      </c>
      <c r="E2" t="s">
        <v>36</v>
      </c>
      <c r="F2" t="str">
        <f>_xlfn.XLOOKUP(B2,employees!A:A,employees!B:B)</f>
        <v>Rahul</v>
      </c>
    </row>
    <row r="3" spans="1:6" x14ac:dyDescent="0.25">
      <c r="A3">
        <v>2</v>
      </c>
      <c r="B3">
        <v>2</v>
      </c>
      <c r="C3" s="2">
        <v>45303</v>
      </c>
      <c r="D3" s="1">
        <v>4</v>
      </c>
      <c r="E3" t="s">
        <v>37</v>
      </c>
      <c r="F3" t="str">
        <f>_xlfn.XLOOKUP(B3,employees!A:A,employees!B:B)</f>
        <v>Priya</v>
      </c>
    </row>
    <row r="4" spans="1:6" x14ac:dyDescent="0.25">
      <c r="A4">
        <v>3</v>
      </c>
      <c r="B4">
        <v>3</v>
      </c>
      <c r="C4" s="2">
        <v>45306</v>
      </c>
      <c r="D4" s="1">
        <v>3</v>
      </c>
      <c r="E4" t="s">
        <v>38</v>
      </c>
      <c r="F4" t="str">
        <f>_xlfn.XLOOKUP(B4,employees!A:A,employees!B:B)</f>
        <v>Amit</v>
      </c>
    </row>
    <row r="5" spans="1:6" x14ac:dyDescent="0.25">
      <c r="A5">
        <v>4</v>
      </c>
      <c r="B5">
        <v>4</v>
      </c>
      <c r="C5" s="2">
        <v>45309</v>
      </c>
      <c r="D5" s="1">
        <v>4</v>
      </c>
      <c r="E5" t="s">
        <v>39</v>
      </c>
      <c r="F5" t="str">
        <f>_xlfn.XLOOKUP(B5,employees!A:A,employees!B:B)</f>
        <v>Neha</v>
      </c>
    </row>
    <row r="6" spans="1:6" x14ac:dyDescent="0.25">
      <c r="A6">
        <v>5</v>
      </c>
      <c r="B6">
        <v>5</v>
      </c>
      <c r="C6" s="2">
        <v>45311</v>
      </c>
      <c r="D6" s="1">
        <v>2</v>
      </c>
      <c r="E6" t="s">
        <v>40</v>
      </c>
      <c r="F6" t="str">
        <f>_xlfn.XLOOKUP(B6,employees!A:A,employees!B:B)</f>
        <v>Rohan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76AA-531C-4BFB-AE2F-0EEA3FEDE39C}">
  <dimension ref="A1:C6"/>
  <sheetViews>
    <sheetView workbookViewId="0">
      <selection activeCell="B22" sqref="B22"/>
    </sheetView>
  </sheetViews>
  <sheetFormatPr defaultRowHeight="15" x14ac:dyDescent="0.25"/>
  <cols>
    <col min="1" max="1" width="14.42578125" bestFit="1" customWidth="1"/>
    <col min="2" max="2" width="17.85546875" bestFit="1" customWidth="1"/>
    <col min="3" max="3" width="9.8554687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1">
        <v>1</v>
      </c>
      <c r="B2" s="1" t="s">
        <v>15</v>
      </c>
      <c r="C2" s="1" t="s">
        <v>16</v>
      </c>
    </row>
    <row r="3" spans="1:3" x14ac:dyDescent="0.25">
      <c r="A3" s="1">
        <v>2</v>
      </c>
      <c r="B3" s="1" t="s">
        <v>17</v>
      </c>
      <c r="C3" s="1" t="s">
        <v>18</v>
      </c>
    </row>
    <row r="4" spans="1:3" x14ac:dyDescent="0.25">
      <c r="A4" s="1">
        <v>3</v>
      </c>
      <c r="B4" s="1" t="s">
        <v>19</v>
      </c>
      <c r="C4" s="1" t="s">
        <v>20</v>
      </c>
    </row>
    <row r="5" spans="1:3" x14ac:dyDescent="0.25">
      <c r="A5" s="1">
        <v>4</v>
      </c>
      <c r="B5" s="1" t="s">
        <v>21</v>
      </c>
      <c r="C5" s="1" t="s">
        <v>22</v>
      </c>
    </row>
    <row r="6" spans="1:3" x14ac:dyDescent="0.25">
      <c r="A6" s="1">
        <v>5</v>
      </c>
      <c r="B6" s="1" t="s">
        <v>23</v>
      </c>
      <c r="C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C9B3-7B6A-44D1-9EF4-C4F29A744504}">
  <dimension ref="A1:E6"/>
  <sheetViews>
    <sheetView tabSelected="1" workbookViewId="0">
      <selection activeCell="B2" sqref="B2"/>
    </sheetView>
  </sheetViews>
  <sheetFormatPr defaultRowHeight="15" x14ac:dyDescent="0.25"/>
  <cols>
    <col min="1" max="1" width="6.5703125" bestFit="1" customWidth="1"/>
    <col min="2" max="2" width="19.140625" bestFit="1" customWidth="1"/>
    <col min="3" max="3" width="9.140625" bestFit="1" customWidth="1"/>
    <col min="4" max="4" width="10.5703125" bestFit="1" customWidth="1"/>
    <col min="5" max="5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20000</v>
      </c>
      <c r="E2" s="1">
        <v>80000</v>
      </c>
    </row>
    <row r="3" spans="1:5" x14ac:dyDescent="0.25">
      <c r="A3" s="1">
        <v>2</v>
      </c>
      <c r="B3" s="1" t="s">
        <v>7</v>
      </c>
      <c r="C3" s="1" t="s">
        <v>6</v>
      </c>
      <c r="D3" s="1">
        <v>50000</v>
      </c>
      <c r="E3" s="1">
        <v>120000</v>
      </c>
    </row>
    <row r="4" spans="1:5" x14ac:dyDescent="0.25">
      <c r="A4" s="1">
        <v>3</v>
      </c>
      <c r="B4" s="1" t="s">
        <v>8</v>
      </c>
      <c r="C4" s="1" t="s">
        <v>6</v>
      </c>
      <c r="D4" s="1">
        <v>35000</v>
      </c>
      <c r="E4" s="1">
        <v>70000</v>
      </c>
    </row>
    <row r="5" spans="1:5" x14ac:dyDescent="0.25">
      <c r="A5" s="1">
        <v>4</v>
      </c>
      <c r="B5" s="1" t="s">
        <v>9</v>
      </c>
      <c r="C5" s="1" t="s">
        <v>10</v>
      </c>
      <c r="D5" s="1">
        <v>0</v>
      </c>
      <c r="E5" s="1">
        <v>60000</v>
      </c>
    </row>
    <row r="6" spans="1:5" x14ac:dyDescent="0.25">
      <c r="A6" s="1">
        <v>5</v>
      </c>
      <c r="B6" s="1" t="s">
        <v>11</v>
      </c>
      <c r="C6" s="1" t="s">
        <v>10</v>
      </c>
      <c r="D6" s="1">
        <v>35000</v>
      </c>
      <c r="E6" s="1">
        <v>65000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5E0EBB-CCAB-4814-9779-E07D723CA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attendance (2)</vt:lpstr>
      <vt:lpstr>performance_reviews</vt:lpstr>
      <vt:lpstr>department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karan singh</cp:lastModifiedBy>
  <dcterms:created xsi:type="dcterms:W3CDTF">2026-04-06T16:39:29Z</dcterms:created>
  <dcterms:modified xsi:type="dcterms:W3CDTF">2026-04-22T16:48:12Z</dcterms:modified>
</cp:coreProperties>
</file>